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6980" tabRatio="600" firstSheet="0" activeTab="3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am" sheetId="2" state="visible" r:id="rId2"/>
    <sheet xmlns:r="http://schemas.openxmlformats.org/officeDocument/2006/relationships" name="Data" sheetId="3" state="visible" r:id="rId3"/>
    <sheet xmlns:r="http://schemas.openxmlformats.org/officeDocument/2006/relationships" name="Chart counts" sheetId="4" state="visible" r:id="rId4"/>
    <sheet xmlns:r="http://schemas.openxmlformats.org/officeDocument/2006/relationships" name="Vocabularie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family val="2"/>
      <b val="1"/>
      <color rgb="FF1B2431"/>
      <sz val="16"/>
    </font>
    <font>
      <name val="Arial"/>
      <family val="2"/>
      <sz val="9"/>
    </font>
    <font>
      <name val="Arial"/>
      <family val="2"/>
      <b val="1"/>
      <color rgb="FF1B2431"/>
      <sz val="12"/>
    </font>
    <font>
      <name val="Arial"/>
      <family val="2"/>
      <sz val="10"/>
    </font>
    <font>
      <name val="Arial"/>
      <family val="2"/>
      <b val="1"/>
      <color rgb="FF1B2431"/>
      <sz val="14"/>
    </font>
    <font>
      <name val="Arial"/>
      <family val="2"/>
      <b val="1"/>
      <sz val="10"/>
    </font>
    <font>
      <name val="Arial"/>
      <family val="2"/>
      <b val="1"/>
      <color rgb="FFFFFFFF"/>
      <sz val="9"/>
    </font>
    <font>
      <name val="Arial"/>
      <family val="2"/>
      <color rgb="FF5A6472"/>
      <sz val="9"/>
    </font>
    <font>
      <name val="Arial"/>
      <family val="2"/>
      <sz val="10"/>
    </font>
  </fonts>
  <fills count="5">
    <fill>
      <patternFill/>
    </fill>
    <fill>
      <patternFill patternType="gray125"/>
    </fill>
    <fill>
      <patternFill patternType="solid">
        <fgColor rgb="FFFFF7CC"/>
      </patternFill>
    </fill>
    <fill>
      <patternFill patternType="solid">
        <fgColor rgb="FF1B2431"/>
      </patternFill>
    </fill>
    <fill>
      <patternFill patternType="solid">
        <fgColor rgb="FFF2F2F0"/>
      </patternFill>
    </fill>
  </fills>
  <borders count="2">
    <border>
      <left/>
      <right/>
      <top/>
      <bottom/>
      <diagonal/>
    </border>
    <border>
      <left style="thin">
        <color rgb="FFD0D4D9"/>
      </left>
      <right style="thin">
        <color rgb="FFD0D4D9"/>
      </right>
      <top style="thin">
        <color rgb="FFD0D4D9"/>
      </top>
      <bottom style="thin">
        <color rgb="FFD0D4D9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2" borderId="1" pivotButton="0" quotePrefix="0" xfId="0"/>
    <xf numFmtId="0" fontId="8" fillId="0" borderId="0" pivotButton="0" quotePrefix="0" xfId="0"/>
    <xf numFmtId="0" fontId="7" fillId="3" borderId="0" applyAlignment="1" pivotButton="0" quotePrefix="0" xfId="0">
      <alignment vertical="top" wrapText="1"/>
    </xf>
    <xf numFmtId="0" fontId="8" fillId="4" borderId="1" applyAlignment="1" pivotButton="0" quotePrefix="0" xfId="0">
      <alignment vertical="top" wrapText="1"/>
    </xf>
    <xf numFmtId="0" fontId="2" fillId="0" borderId="0" pivotButton="0" quotePrefix="0" xfId="0"/>
    <xf numFmtId="0" fontId="2" fillId="2" borderId="1" applyAlignment="1" pivotButton="0" quotePrefix="0" xfId="0">
      <alignment vertical="top" wrapText="1"/>
    </xf>
    <xf numFmtId="0" fontId="3" fillId="0" borderId="0" pivotButton="0" quotePrefix="0" xfId="0"/>
    <xf numFmtId="0" fontId="7" fillId="3" borderId="0" pivotButton="0" quotePrefix="0" xfId="0"/>
    <xf numFmtId="0" fontId="9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9"/>
  <sheetViews>
    <sheetView workbookViewId="0">
      <selection activeCell="B21" sqref="B21"/>
    </sheetView>
  </sheetViews>
  <sheetFormatPr baseColWidth="10" defaultColWidth="8.83203125" defaultRowHeight="15"/>
  <cols>
    <col width="3" customWidth="1" min="1" max="1"/>
    <col width="105" customWidth="1" min="2" max="2"/>
  </cols>
  <sheetData>
    <row r="2" ht="36" customHeight="1">
      <c r="B2" s="1" t="inlineStr">
        <is>
          <t>Judgment Content Analysis · Dataset template</t>
        </is>
      </c>
    </row>
    <row r="3" ht="16" customHeight="1">
      <c r="B3" s="2" t="n"/>
    </row>
    <row r="4" ht="18" customHeight="1">
      <c r="B4" s="3" t="inlineStr">
        <is>
          <t>How to use this file</t>
        </is>
      </c>
    </row>
    <row r="5" ht="16" customHeight="1">
      <c r="B5" s="4" t="inlineStr">
        <is>
          <t>1. Fill the Team sheet.</t>
        </is>
      </c>
    </row>
    <row r="6" ht="30" customHeight="1">
      <c r="B6" s="15" t="inlineStr">
        <is>
          <t>2. In the Data sheet, enter one row per judgment starting at row 6. Row 5 is a made-up example showing the format; leave it as it is.</t>
        </is>
      </c>
    </row>
    <row r="7" ht="30" customHeight="1">
      <c r="B7" s="4" t="inlineStr">
        <is>
          <t>3. Pale yellow cells are yours to fill. Dropdown columns accept only the listed values (see the Vocabularies sheet). Do not add, delete or reorder columns.</t>
        </is>
      </c>
    </row>
    <row r="8" ht="30" customHeight="1">
      <c r="B8" s="15" t="inlineStr">
        <is>
          <t>4. When done, rename this file data.xlsx. Also save the Data sheet as data.csv (File &gt; Save As &gt; CSV). Upload both to your GitHub repository.</t>
        </is>
      </c>
    </row>
    <row r="9" ht="16" customHeight="1">
      <c r="B9" s="4" t="inlineStr">
        <is>
          <t>5. Read the Option 2 Guide for the column meanings, the charts, GitHub steps and the README.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10" defaultColWidth="8.83203125" defaultRowHeight="15"/>
  <cols>
    <col width="3" customWidth="1" min="1" max="1"/>
    <col width="32" customWidth="1" min="2" max="2"/>
    <col width="50" customWidth="1" min="3" max="3"/>
  </cols>
  <sheetData>
    <row r="1"/>
    <row r="2" ht="18" customHeight="1">
      <c r="B2" s="5" t="inlineStr">
        <is>
          <t>Team information</t>
        </is>
      </c>
    </row>
    <row r="3"/>
    <row r="4">
      <c r="B4" s="6" t="inlineStr">
        <is>
          <t>Topic</t>
        </is>
      </c>
      <c r="C4" s="7" t="inlineStr">
        <is>
          <t>Consent and informational privacy</t>
        </is>
      </c>
    </row>
    <row r="5">
      <c r="B5" s="6" t="inlineStr">
        <is>
          <t>Court</t>
        </is>
      </c>
      <c r="C5" s="7" t="inlineStr">
        <is>
          <t>Supreme Court of India</t>
        </is>
      </c>
    </row>
    <row r="6">
      <c r="B6" s="6" t="inlineStr">
        <is>
          <t>Team name</t>
        </is>
      </c>
      <c r="C6" s="7" t="inlineStr">
        <is>
          <t>Consent &amp; Privacy</t>
        </is>
      </c>
    </row>
    <row r="7">
      <c r="B7" s="6" t="inlineStr">
        <is>
          <t>GitHub repository link</t>
        </is>
      </c>
      <c r="C7" s="7" t="inlineStr">
        <is>
          <t>https://github.com/Astitvaaaaaaaaaaa-hub/consent-privacy-judgments</t>
        </is>
      </c>
    </row>
    <row r="8">
      <c r="B8" s="6" t="inlineStr">
        <is>
          <t>Member 1 · name and section</t>
        </is>
      </c>
      <c r="C8" s="7" t="inlineStr">
        <is>
          <t>Astitva Agrawal, Division C</t>
        </is>
      </c>
    </row>
    <row r="9">
      <c r="B9" s="6" t="inlineStr">
        <is>
          <t>Member 2 · name and section</t>
        </is>
      </c>
      <c r="C9" s="7" t="inlineStr">
        <is>
          <t>Anmol Kumar Sinha, Division C</t>
        </is>
      </c>
    </row>
    <row r="10">
      <c r="B10" s="6" t="inlineStr">
        <is>
          <t>Member 3 · name and section (if any)</t>
        </is>
      </c>
      <c r="C10" s="7" t="inlineStr">
        <is>
          <t>Sahil Islam, Division D</t>
        </is>
      </c>
    </row>
    <row r="11">
      <c r="B11" s="6" t="inlineStr">
        <is>
          <t>Member 4 · name and section (if any)</t>
        </is>
      </c>
      <c r="C11" s="7" t="inlineStr">
        <is>
          <t>Khushi Gurm, Division B</t>
        </is>
      </c>
    </row>
    <row r="12">
      <c r="B12" s="6" t="inlineStr">
        <is>
          <t>Date completed (DD-MM-YYYY)</t>
        </is>
      </c>
      <c r="C12" s="7" t="inlineStr">
        <is>
          <t>22-10-2026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2" ySplit="4" topLeftCell="D5" activePane="bottomRight" state="frozen"/>
      <selection pane="topRight" activeCell="A1" sqref="A1"/>
      <selection pane="bottomLeft" activeCell="A1" sqref="A1"/>
      <selection pane="bottomRight" activeCell="D7" sqref="D7"/>
    </sheetView>
  </sheetViews>
  <sheetFormatPr baseColWidth="10" defaultColWidth="8.83203125" defaultRowHeight="15"/>
  <cols>
    <col width="4" customWidth="1" min="1" max="1"/>
    <col width="32" customWidth="1" min="2" max="2"/>
    <col width="22" customWidth="1" min="3" max="3"/>
    <col width="14" customWidth="1" min="4" max="4"/>
    <col width="7" customWidth="1" min="5" max="5"/>
    <col width="8" customWidth="1" min="6" max="6"/>
    <col width="16" customWidth="1" min="7" max="7"/>
    <col width="20" customWidth="1" min="8" max="8"/>
    <col width="14" customWidth="1" min="9" max="9"/>
    <col width="20" customWidth="1" min="10" max="10"/>
    <col width="18" customWidth="1" min="11" max="11"/>
    <col width="40" customWidth="1" min="12" max="13"/>
    <col width="28" customWidth="1" min="14" max="14"/>
    <col width="30" customWidth="1" min="15" max="15"/>
    <col width="16" customWidth="1" min="16" max="16"/>
  </cols>
  <sheetData>
    <row r="1" ht="18" customHeight="1">
      <c r="A1" s="5" t="inlineStr">
        <is>
          <t>Data · one row per judgment</t>
        </is>
      </c>
    </row>
    <row r="2">
      <c r="A2" s="8" t="inlineStr">
        <is>
          <t>Row 5 is a made-up example. Your judgments start at row 6. Enter 10 to 20 judgments decided between 01-09-2021 and 31-08-2026. See the Option 2 Guide, section 4.</t>
        </is>
      </c>
    </row>
    <row r="4" ht="36" customHeight="1">
      <c r="A4" s="9" t="inlineStr">
        <is>
          <t>#</t>
        </is>
      </c>
      <c r="B4" s="9" t="inlineStr">
        <is>
          <t>Case name</t>
        </is>
      </c>
      <c r="C4" s="9" t="inlineStr">
        <is>
          <t>Citation or case number</t>
        </is>
      </c>
      <c r="D4" s="9" t="inlineStr">
        <is>
          <t>Date of decision (DD-MM-YYYY)</t>
        </is>
      </c>
      <c r="E4" s="9" t="inlineStr">
        <is>
          <t>Year</t>
        </is>
      </c>
      <c r="F4" s="9" t="inlineStr">
        <is>
          <t>Bench strength</t>
        </is>
      </c>
      <c r="G4" s="9" t="inlineStr">
        <is>
          <t>Type of case</t>
        </is>
      </c>
      <c r="H4" s="9" t="inlineStr">
        <is>
          <t>Who brought the case</t>
        </is>
      </c>
      <c r="I4" s="9" t="inlineStr">
        <is>
          <t>Outcome</t>
        </is>
      </c>
      <c r="J4" s="9" t="inlineStr">
        <is>
          <t>Who won</t>
        </is>
      </c>
      <c r="K4" s="9" t="inlineStr">
        <is>
          <t>Main provision</t>
        </is>
      </c>
      <c r="L4" s="9" t="inlineStr">
        <is>
          <t>Issue in one line</t>
        </is>
      </c>
      <c r="M4" s="9" t="inlineStr">
        <is>
          <t>Holding in one line</t>
        </is>
      </c>
      <c r="N4" s="9" t="inlineStr">
        <is>
          <t>Precedent chiefly relied on</t>
        </is>
      </c>
      <c r="O4" s="9" t="inlineStr">
        <is>
          <t>Source link (official copy)</t>
        </is>
      </c>
      <c r="P4" s="9" t="inlineStr">
        <is>
          <t>Coded by</t>
        </is>
      </c>
    </row>
    <row r="5" ht="45" customHeight="1">
      <c r="A5" s="10" t="inlineStr">
        <is>
          <t>EX</t>
        </is>
      </c>
      <c r="B5" s="10" t="inlineStr">
        <is>
          <t>Example Petitioner v. State of Maharashtra (made-up)</t>
        </is>
      </c>
      <c r="C5" s="10" t="inlineStr">
        <is>
          <t>2024 INSC 000 (made-up)</t>
        </is>
      </c>
      <c r="D5" s="10" t="inlineStr">
        <is>
          <t>15-03-2024</t>
        </is>
      </c>
      <c r="E5" s="10" t="n">
        <v>2024</v>
      </c>
      <c r="F5" s="10" t="n">
        <v>2</v>
      </c>
      <c r="G5" s="10" t="inlineStr">
        <is>
          <t>Criminal appeal</t>
        </is>
      </c>
      <c r="H5" s="10" t="inlineStr">
        <is>
          <t>Individual</t>
        </is>
      </c>
      <c r="I5" s="10" t="inlineStr">
        <is>
          <t>Allowed</t>
        </is>
      </c>
      <c r="J5" s="10" t="inlineStr">
        <is>
          <t>Individual</t>
        </is>
      </c>
      <c r="K5" s="10" t="inlineStr">
        <is>
          <t>s 438 CrPC</t>
        </is>
      </c>
      <c r="L5" s="10" t="inlineStr">
        <is>
          <t>Whether anticipatory bail can be limited to a fixed period.</t>
        </is>
      </c>
      <c r="M5" s="10" t="inlineStr">
        <is>
          <t>Bail granted; protection ordinarily lasts till the end of trial.</t>
        </is>
      </c>
      <c r="N5" s="10" t="inlineStr">
        <is>
          <t>Sushila Aggarwal v. State (NCT of Delhi)</t>
        </is>
      </c>
      <c r="O5" s="10" t="inlineStr">
        <is>
          <t>https://www.sci.gov.in/judgements/ (made-up)</t>
        </is>
      </c>
      <c r="P5" s="10" t="inlineStr">
        <is>
          <t>A. Deshmukh</t>
        </is>
      </c>
    </row>
    <row r="6" ht="40" customHeight="1">
      <c r="A6" s="11" t="n">
        <v>1</v>
      </c>
      <c r="B6" s="12" t="inlineStr">
        <is>
          <t>Manohar Lal Sharma v. Union of India</t>
        </is>
      </c>
      <c r="C6" s="12" t="inlineStr">
        <is>
          <t>W.P. (Crl.) No. 314 of 2021</t>
        </is>
      </c>
      <c r="D6" s="12" t="inlineStr">
        <is>
          <t>27-10-2021</t>
        </is>
      </c>
      <c r="E6" s="12" t="n">
        <v>2021</v>
      </c>
      <c r="F6" s="12" t="n">
        <v>3</v>
      </c>
      <c r="G6" s="12" t="inlineStr">
        <is>
          <t>Writ petition</t>
        </is>
      </c>
      <c r="H6" s="12" t="inlineStr">
        <is>
          <t>Individual</t>
        </is>
      </c>
      <c r="I6" s="12" t="inlineStr">
        <is>
          <t>Other</t>
        </is>
      </c>
      <c r="J6" s="12" t="inlineStr">
        <is>
          <t>Individual</t>
        </is>
      </c>
      <c r="K6" s="12" t="inlineStr">
        <is>
          <t>Art 21</t>
        </is>
      </c>
      <c r="L6" s="12" t="inlineStr">
        <is>
          <t>Whether the Court should order an independent inquiry into alleged Pegasus spyware surveillance of citizens.</t>
        </is>
      </c>
      <c r="M6" s="12" t="inlineStr">
        <is>
          <t>A bare plea of national security did not shield the Union; an expert committee was appointed to inquire into the surveillance claims.</t>
        </is>
      </c>
      <c r="N6" s="12" t="inlineStr">
        <is>
          <t>K.S. Puttaswamy v. Union of India (2017)</t>
        </is>
      </c>
      <c r="O6" s="12" t="inlineStr">
        <is>
          <t>https://api.sci.gov.in/supremecourt/2021/16884/16884_2021_1_1501_30827_Judgement_27-Oct-2021.pdf</t>
        </is>
      </c>
      <c r="P6" s="12" t="inlineStr">
        <is>
          <t>Astitva Agrawal</t>
        </is>
      </c>
    </row>
    <row r="7" ht="40" customHeight="1">
      <c r="A7" s="11" t="n">
        <v>2</v>
      </c>
      <c r="B7" s="12" t="inlineStr">
        <is>
          <t>X v. Principal Secretary, Health and Family Welfare Department, Govt. of NCT of Delhi</t>
        </is>
      </c>
      <c r="C7" s="12" t="inlineStr">
        <is>
          <t>2022 INSC 1035 (Civil Appeal No. 5802 of 2022)</t>
        </is>
      </c>
      <c r="D7" s="12" t="inlineStr">
        <is>
          <t>29-09-2022</t>
        </is>
      </c>
      <c r="E7" s="12" t="n">
        <v>2022</v>
      </c>
      <c r="F7" s="12" t="n">
        <v>3</v>
      </c>
      <c r="G7" s="12" t="inlineStr">
        <is>
          <t>Civil appeal</t>
        </is>
      </c>
      <c r="H7" s="12" t="inlineStr">
        <is>
          <t>Individual</t>
        </is>
      </c>
      <c r="I7" s="12" t="inlineStr">
        <is>
          <t>Other</t>
        </is>
      </c>
      <c r="J7" s="12" t="inlineStr">
        <is>
          <t>Individual</t>
        </is>
      </c>
      <c r="K7" s="12" t="inlineStr">
        <is>
          <t>r 3B MTP Rules; s 3(2) MTP Act</t>
        </is>
      </c>
      <c r="L7" s="12" t="inlineStr">
        <is>
          <t>Whether unmarried women can terminate a 20–24 week pregnancy, and whether a doctor must reveal a minor's identity to police under POCSO.</t>
        </is>
      </c>
      <c r="M7" s="12" t="inlineStr">
        <is>
          <t>Unmarried women fall within the 20–24 week category; a doctor reporting under s 19 POCSO need not disclose the minor's identity.</t>
        </is>
      </c>
      <c r="N7" s="12" t="inlineStr">
        <is>
          <t>Suchita Srivastava v. Chandigarh Administration (2009)</t>
        </is>
      </c>
      <c r="O7" s="12" t="inlineStr">
        <is>
          <t>https://digiscr.sci.gov.in/view_judgment?id=MzA3MTA%3D</t>
        </is>
      </c>
      <c r="P7" s="12" t="inlineStr">
        <is>
          <t>Anmol Kumar Sinha</t>
        </is>
      </c>
    </row>
    <row r="8" ht="40" customHeight="1">
      <c r="A8" s="11" t="n">
        <v>3</v>
      </c>
      <c r="B8" s="12" t="inlineStr">
        <is>
          <t>Aparna Ajinkya Firodia v. Ajinkya Arun Firodia</t>
        </is>
      </c>
      <c r="C8" s="12" t="inlineStr">
        <is>
          <t>2023 INSC 146</t>
        </is>
      </c>
      <c r="D8" s="12" t="inlineStr">
        <is>
          <t>20-02-2023</t>
        </is>
      </c>
      <c r="E8" s="12" t="n">
        <v>2023</v>
      </c>
      <c r="F8" s="12" t="n">
        <v>2</v>
      </c>
      <c r="G8" s="12" t="inlineStr">
        <is>
          <t>Civil appeal</t>
        </is>
      </c>
      <c r="H8" s="12" t="inlineStr">
        <is>
          <t>Individual</t>
        </is>
      </c>
      <c r="I8" s="12" t="inlineStr">
        <is>
          <t>Allowed</t>
        </is>
      </c>
      <c r="J8" s="12" t="inlineStr">
        <is>
          <t>Individual</t>
        </is>
      </c>
      <c r="K8" s="12" t="inlineStr">
        <is>
          <t>s 112 Evidence Act; Art 21</t>
        </is>
      </c>
      <c r="L8" s="12" t="inlineStr">
        <is>
          <t>Whether a family court can order a DNA test of a child to prove the wife's adultery.</t>
        </is>
      </c>
      <c r="M8" s="12" t="inlineStr">
        <is>
          <t>DNA tests of children cannot be ordered routinely; the child's privacy and legitimacy must be protected, so the order was set aside.</t>
        </is>
      </c>
      <c r="N8" s="12" t="inlineStr">
        <is>
          <t>Goutam Kundu v. State of West Bengal (1993)</t>
        </is>
      </c>
      <c r="O8" s="12" t="inlineStr">
        <is>
          <t>https://api.sci.gov.in/supremecourt/2022/9691/9691_2022_15_1501_42221_Judgement_20-Feb-2023.pdf</t>
        </is>
      </c>
      <c r="P8" s="12" t="inlineStr">
        <is>
          <t>Sahil Islam</t>
        </is>
      </c>
    </row>
    <row r="9" ht="40" customHeight="1">
      <c r="A9" s="11" t="n">
        <v>4</v>
      </c>
      <c r="B9" s="12" t="inlineStr">
        <is>
          <t>Association for Democratic Reforms v. Union of India</t>
        </is>
      </c>
      <c r="C9" s="12" t="inlineStr">
        <is>
          <t>2024 INSC 113</t>
        </is>
      </c>
      <c r="D9" s="12" t="inlineStr">
        <is>
          <t>15-02-2024</t>
        </is>
      </c>
      <c r="E9" s="12" t="n">
        <v>2024</v>
      </c>
      <c r="F9" s="12" t="n">
        <v>5</v>
      </c>
      <c r="G9" s="12" t="inlineStr">
        <is>
          <t>Writ petition</t>
        </is>
      </c>
      <c r="H9" s="12" t="inlineStr">
        <is>
          <t>Association or NGO</t>
        </is>
      </c>
      <c r="I9" s="12" t="inlineStr">
        <is>
          <t>Allowed</t>
        </is>
      </c>
      <c r="J9" s="12" t="inlineStr">
        <is>
          <t>Association or NGO</t>
        </is>
      </c>
      <c r="K9" s="12" t="inlineStr">
        <is>
          <t>Art 19(1)(a); Art 21</t>
        </is>
      </c>
      <c r="L9" s="12" t="inlineStr">
        <is>
          <t>Whether donor informational privacy justifies anonymous political funding through electoral bonds.</t>
        </is>
      </c>
      <c r="M9" s="12" t="inlineStr">
        <is>
          <t>Voters' right to information outweighed donor privacy; the Electoral Bond Scheme was struck down.</t>
        </is>
      </c>
      <c r="N9" s="12" t="inlineStr">
        <is>
          <t>K.S. Puttaswamy v. Union of India (2017)</t>
        </is>
      </c>
      <c r="O9" s="12" t="inlineStr">
        <is>
          <t>https://api.sci.gov.in/supremecourt/2017/27935/27935_2017_1_1501_50573_Judgement_15-Feb-2024.pdf</t>
        </is>
      </c>
      <c r="P9" s="12" t="inlineStr">
        <is>
          <t>Astitva Agrawal</t>
        </is>
      </c>
    </row>
    <row r="10" ht="40" customHeight="1">
      <c r="A10" s="11" t="n">
        <v>5</v>
      </c>
      <c r="B10" s="12" t="inlineStr">
        <is>
          <t>Frank Vitus v. Narcotics Control Bureau</t>
        </is>
      </c>
      <c r="C10" s="12" t="inlineStr">
        <is>
          <t>2024 INSC 479</t>
        </is>
      </c>
      <c r="D10" s="12" t="inlineStr">
        <is>
          <t>08-07-2024</t>
        </is>
      </c>
      <c r="E10" s="12" t="n">
        <v>2024</v>
      </c>
      <c r="F10" s="12" t="n">
        <v>2</v>
      </c>
      <c r="G10" s="12" t="inlineStr">
        <is>
          <t>Criminal appeal</t>
        </is>
      </c>
      <c r="H10" s="12" t="inlineStr">
        <is>
          <t>Individual</t>
        </is>
      </c>
      <c r="I10" s="12" t="inlineStr">
        <is>
          <t>Allowed</t>
        </is>
      </c>
      <c r="J10" s="12" t="inlineStr">
        <is>
          <t>Individual</t>
        </is>
      </c>
      <c r="K10" s="12" t="inlineStr">
        <is>
          <t>Art 21</t>
        </is>
      </c>
      <c r="L10" s="12" t="inlineStr">
        <is>
          <t>Whether bail can require the accused to share a Google Maps PIN location with the police.</t>
        </is>
      </c>
      <c r="M10" s="12" t="inlineStr">
        <is>
          <t>A bail condition letting police track every movement of the accused violates privacy; the PIN condition was deleted.</t>
        </is>
      </c>
      <c r="N10" s="12" t="inlineStr">
        <is>
          <t>State of A.P. v. Challa Ramkrishna Reddy (2000)</t>
        </is>
      </c>
      <c r="O10" s="12" t="inlineStr">
        <is>
          <t>https://webapi.sci.gov.in/supremecourt/2023/6687/6687_2023_6_1509_53522_Judgement_08-Jul-2024.pdf</t>
        </is>
      </c>
      <c r="P10" s="12" t="inlineStr">
        <is>
          <t>Anmol Kumar Sinha</t>
        </is>
      </c>
    </row>
    <row r="11" ht="40" customHeight="1">
      <c r="A11" s="11" t="n">
        <v>6</v>
      </c>
      <c r="B11" s="12" t="inlineStr">
        <is>
          <t>In Re: Right to Privacy of Adolescents (with State of West Bengal v. Probhat Purkait)</t>
        </is>
      </c>
      <c r="C11" s="12" t="inlineStr">
        <is>
          <t>2024 INSC 614</t>
        </is>
      </c>
      <c r="D11" s="12" t="inlineStr">
        <is>
          <t>20-08-2024</t>
        </is>
      </c>
      <c r="E11" s="12" t="n">
        <v>2024</v>
      </c>
      <c r="F11" s="12" t="n">
        <v>2</v>
      </c>
      <c r="G11" s="12" t="inlineStr">
        <is>
          <t>Other</t>
        </is>
      </c>
      <c r="H11" s="12" t="inlineStr">
        <is>
          <t>State or public body</t>
        </is>
      </c>
      <c r="I11" s="12" t="inlineStr">
        <is>
          <t>Partly allowed</t>
        </is>
      </c>
      <c r="J11" s="12" t="inlineStr">
        <is>
          <t>State or public body</t>
        </is>
      </c>
      <c r="K11" s="12" t="inlineStr">
        <is>
          <t>s 6 POCSO; s 19(6) POCSO</t>
        </is>
      </c>
      <c r="L11" s="12" t="inlineStr">
        <is>
          <t>Whether a High Court could acquit a POCSO accused on the footing of a ‘consensual’ adolescent relationship and lecture adolescents on sexual conduct.</t>
        </is>
      </c>
      <c r="M11" s="12" t="inlineStr">
        <is>
          <t>The conviction was restored and the High Court's remarks set aside; a minor's consent is immaterial under POCSO.</t>
        </is>
      </c>
      <c r="N11" s="12" t="inlineStr">
        <is>
          <t>Gian Singh v. State of Punjab (2012)</t>
        </is>
      </c>
      <c r="O11" s="12" t="inlineStr">
        <is>
          <t>https://api.sci.gov.in/supremecourt/2023/51208/51208_2023_6_1501_54805_Judgement_20-Aug-2024.pdf</t>
        </is>
      </c>
      <c r="P11" s="12" t="inlineStr">
        <is>
          <t>Khushi Gurm</t>
        </is>
      </c>
    </row>
    <row r="12" ht="40" customHeight="1">
      <c r="A12" s="11" t="n">
        <v>7</v>
      </c>
      <c r="B12" s="12" t="inlineStr">
        <is>
          <t>Amlesh Kumar v. State of Bihar</t>
        </is>
      </c>
      <c r="C12" s="12" t="inlineStr">
        <is>
          <t>2025 INSC 810</t>
        </is>
      </c>
      <c r="D12" s="12" t="inlineStr">
        <is>
          <t>09-06-2025</t>
        </is>
      </c>
      <c r="E12" s="12" t="n">
        <v>2025</v>
      </c>
      <c r="F12" s="12" t="n">
        <v>2</v>
      </c>
      <c r="G12" s="12" t="inlineStr">
        <is>
          <t>Criminal appeal</t>
        </is>
      </c>
      <c r="H12" s="12" t="inlineStr">
        <is>
          <t>Individual</t>
        </is>
      </c>
      <c r="I12" s="12" t="inlineStr">
        <is>
          <t>Allowed</t>
        </is>
      </c>
      <c r="J12" s="12" t="inlineStr">
        <is>
          <t>Individual</t>
        </is>
      </c>
      <c r="K12" s="12" t="inlineStr">
        <is>
          <t>Art 20(3); Art 21</t>
        </is>
      </c>
      <c r="L12" s="12" t="inlineStr">
        <is>
          <t>Whether a High Court could accept a police plan to narco-test all accused while hearing a bail plea.</t>
        </is>
      </c>
      <c r="M12" s="12" t="inlineStr">
        <is>
          <t>Forced narco tests are never permissible; a voluntary test may be sought only at the defence stage with court permission.</t>
        </is>
      </c>
      <c r="N12" s="12" t="inlineStr">
        <is>
          <t>Selvi v. State of Karnataka (2010)</t>
        </is>
      </c>
      <c r="O12" s="12" t="inlineStr">
        <is>
          <t>https://api.sci.gov.in/supremecourt/2024/9701/9701_2024_4_1501_62184_Judgement_09-Jun-2025.pdf</t>
        </is>
      </c>
      <c r="P12" s="12" t="inlineStr">
        <is>
          <t>Sahil Islam</t>
        </is>
      </c>
    </row>
    <row r="13" ht="40" customHeight="1">
      <c r="A13" s="11" t="n">
        <v>8</v>
      </c>
      <c r="B13" s="12" t="inlineStr">
        <is>
          <t>Vibhor Garg v. Neha</t>
        </is>
      </c>
      <c r="C13" s="12" t="inlineStr">
        <is>
          <t>2025 INSC 829</t>
        </is>
      </c>
      <c r="D13" s="12" t="inlineStr">
        <is>
          <t>14-07-2025</t>
        </is>
      </c>
      <c r="E13" s="12" t="n">
        <v>2025</v>
      </c>
      <c r="F13" s="12" t="n">
        <v>2</v>
      </c>
      <c r="G13" s="12" t="inlineStr">
        <is>
          <t>Civil appeal</t>
        </is>
      </c>
      <c r="H13" s="12" t="inlineStr">
        <is>
          <t>Individual</t>
        </is>
      </c>
      <c r="I13" s="12" t="inlineStr">
        <is>
          <t>Allowed</t>
        </is>
      </c>
      <c r="J13" s="12" t="inlineStr">
        <is>
          <t>Individual</t>
        </is>
      </c>
      <c r="K13" s="12" t="inlineStr">
        <is>
          <t>s 122 Evidence Act; Art 21</t>
        </is>
      </c>
      <c r="L13" s="12" t="inlineStr">
        <is>
          <t>Whether phone calls secretly recorded by one spouse are admissible in divorce proceedings.</t>
        </is>
      </c>
      <c r="M13" s="12" t="inlineStr">
        <is>
          <t>Such recordings are admissible; the wife's privacy objection did not bar them, and the Family Court's order was restored.</t>
        </is>
      </c>
      <c r="N13" s="12" t="inlineStr">
        <is>
          <t>R.M. Malkani v. State of Maharashtra (1973)</t>
        </is>
      </c>
      <c r="O13" s="12" t="inlineStr">
        <is>
          <t>https://api.sci.gov.in/supremecourt/2021/31421/31421_2021_5_1501_62289_Judgement_14-Jul-2025.pdf</t>
        </is>
      </c>
      <c r="P13" s="12" t="inlineStr">
        <is>
          <t>Khushi Gurm</t>
        </is>
      </c>
    </row>
    <row r="14" ht="40" customHeight="1">
      <c r="A14" s="11" t="n">
        <v>9</v>
      </c>
      <c r="B14" s="12" t="inlineStr">
        <is>
          <t>R. Rajendran v. Kamar Nisha</t>
        </is>
      </c>
      <c r="C14" s="12" t="inlineStr">
        <is>
          <t>2025 INSC 1304 (Criminal Appeal No. 1013 of 2021)</t>
        </is>
      </c>
      <c r="D14" s="12" t="inlineStr">
        <is>
          <t>10-11-2025</t>
        </is>
      </c>
      <c r="E14" s="12" t="n">
        <v>2025</v>
      </c>
      <c r="F14" s="12" t="n">
        <v>2</v>
      </c>
      <c r="G14" s="12" t="inlineStr">
        <is>
          <t>Criminal appeal</t>
        </is>
      </c>
      <c r="H14" s="12" t="inlineStr">
        <is>
          <t>Individual</t>
        </is>
      </c>
      <c r="I14" s="12" t="inlineStr">
        <is>
          <t>Allowed</t>
        </is>
      </c>
      <c r="J14" s="12" t="inlineStr">
        <is>
          <t>Individual</t>
        </is>
      </c>
      <c r="K14" s="12" t="inlineStr">
        <is>
          <t>Art 21; s 112 Evidence Act; ss 53, 53A CrPC</t>
        </is>
      </c>
      <c r="L14" s="12" t="inlineStr">
        <is>
          <t>Whether a man accused of cheating could be forced to give a DNA sample to establish a child's paternity.</t>
        </is>
      </c>
      <c r="M14" s="12" t="inlineStr">
        <is>
          <t>Forced DNA testing is a grave intrusion on privacy and must be lawful, necessary and proportionate, with a nexus to the offence. Paternity was collateral to the charges, so the direction was set aside.</t>
        </is>
      </c>
      <c r="N14" s="12" t="inlineStr">
        <is>
          <t>Goutam Kundu v. State of West Bengal (1993)</t>
        </is>
      </c>
      <c r="O14" s="12" t="inlineStr">
        <is>
          <t>https://api.sci.gov.in/supremecourt/2017/16058/16058_2017_14_1501_65616_Judgement_10-Nov-2025.pdf</t>
        </is>
      </c>
      <c r="P14" s="12" t="inlineStr">
        <is>
          <t>Khushi Gurm</t>
        </is>
      </c>
    </row>
    <row r="15" ht="40" customHeight="1">
      <c r="A15" s="11" t="n">
        <v>10</v>
      </c>
      <c r="B15" s="12" t="inlineStr">
        <is>
          <t>Harish Rana v. Union of India</t>
        </is>
      </c>
      <c r="C15" s="12" t="inlineStr">
        <is>
          <t>2026 INSC 222</t>
        </is>
      </c>
      <c r="D15" s="12" t="inlineStr">
        <is>
          <t>11-03-2026</t>
        </is>
      </c>
      <c r="E15" s="12" t="n">
        <v>2026</v>
      </c>
      <c r="F15" s="12" t="n">
        <v>2</v>
      </c>
      <c r="G15" s="12" t="inlineStr">
        <is>
          <t>Other</t>
        </is>
      </c>
      <c r="H15" s="12" t="inlineStr">
        <is>
          <t>Individual</t>
        </is>
      </c>
      <c r="I15" s="12" t="inlineStr">
        <is>
          <t>Allowed</t>
        </is>
      </c>
      <c r="J15" s="12" t="inlineStr">
        <is>
          <t>Individual</t>
        </is>
      </c>
      <c r="K15" s="12" t="inlineStr">
        <is>
          <t>Art 21</t>
        </is>
      </c>
      <c r="L15" s="12" t="inlineStr">
        <is>
          <t>How passive euthanasia applies to a patient in a permanent vegetative state who cannot consent and left no advance directive.</t>
        </is>
      </c>
      <c r="M15" s="12" t="inlineStr">
        <is>
          <t>Withdrawal of artificial nutrition was permitted through surrogate decision-making and medical boards.</t>
        </is>
      </c>
      <c r="N15" s="12" t="inlineStr">
        <is>
          <t>Common Cause v. Union of India (2018)</t>
        </is>
      </c>
      <c r="O15" s="12" t="inlineStr">
        <is>
          <t>https://api.sci.gov.in/supremecourt/2025/60980/60980_2025_7_1501_69246_Judgement_11-Mar-2026.pdf</t>
        </is>
      </c>
      <c r="P15" s="12" t="inlineStr">
        <is>
          <t>Astitva Agrawal</t>
        </is>
      </c>
    </row>
    <row r="16" ht="40" customHeight="1">
      <c r="A16" s="11" t="n">
        <v>11</v>
      </c>
      <c r="B16" s="12" t="inlineStr">
        <is>
          <t>Chaturbhuj Pradhan v. Amar Pradhan</t>
        </is>
      </c>
      <c r="C16" s="12" t="inlineStr">
        <is>
          <t>2026 INSC 600 (arising out of SLP (C) No. 4016 of 2026)</t>
        </is>
      </c>
      <c r="D16" s="12" t="inlineStr">
        <is>
          <t>29-05-2026</t>
        </is>
      </c>
      <c r="E16" s="12" t="n">
        <v>2026</v>
      </c>
      <c r="F16" s="12" t="n">
        <v>2</v>
      </c>
      <c r="G16" s="12" t="inlineStr">
        <is>
          <t>Civil appeal</t>
        </is>
      </c>
      <c r="H16" s="12" t="inlineStr">
        <is>
          <t>Individual</t>
        </is>
      </c>
      <c r="I16" s="12" t="inlineStr">
        <is>
          <t>Dismissed</t>
        </is>
      </c>
      <c r="J16" s="12" t="inlineStr">
        <is>
          <t>Individual</t>
        </is>
      </c>
      <c r="K16" s="12" t="inlineStr">
        <is>
          <t>s 112 Evidence Act; Art 21</t>
        </is>
      </c>
      <c r="L16" s="12" t="inlineStr">
        <is>
          <t>Whether a man could be compelled to take a DNA test in a suit where the plaintiff claims to be his son.</t>
        </is>
      </c>
      <c r="M16" s="12" t="inlineStr">
        <is>
          <t>Privacy is not absolute; where paternity is directly in issue and no other evidence can settle it, a DNA test may be ordered. The Civil Court was directed to fix a date for the test.</t>
        </is>
      </c>
      <c r="N16" s="12" t="inlineStr">
        <is>
          <t>Aparna Ajinkya Firodia v. Ajinkya Arun Firodia (2023)</t>
        </is>
      </c>
      <c r="O16" s="12" t="inlineStr">
        <is>
          <t>https://api.sci.gov.in/supremecourt/2025/50840/50840_2025_8_1502_71638_Judgement_29-May-2026.pdf</t>
        </is>
      </c>
      <c r="P16" s="12" t="inlineStr">
        <is>
          <t>Anmol Kumar Sinha</t>
        </is>
      </c>
    </row>
    <row r="17" ht="40" customHeight="1">
      <c r="A17" s="11" t="n">
        <v>12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</row>
    <row r="18" ht="40" customHeight="1">
      <c r="A18" s="11" t="n">
        <v>13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</row>
    <row r="19" ht="40" customHeight="1">
      <c r="A19" s="11" t="n">
        <v>14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</row>
    <row r="20" ht="40" customHeight="1">
      <c r="A20" s="11" t="n">
        <v>15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</row>
    <row r="21" ht="40" customHeight="1">
      <c r="A21" s="11" t="n">
        <v>16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</row>
    <row r="22" ht="40" customHeight="1">
      <c r="A22" s="11" t="n">
        <v>17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</row>
    <row r="23" ht="40" customHeight="1">
      <c r="A23" s="11" t="n">
        <v>18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</row>
    <row r="24" ht="40" customHeight="1">
      <c r="A24" s="11" t="n">
        <v>19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</row>
    <row r="25" ht="40" customHeight="1">
      <c r="A25" s="11" t="n">
        <v>20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</row>
  </sheetData>
  <dataValidations count="5">
    <dataValidation sqref="E6:E25" showDropDown="0" showInputMessage="0" showErrorMessage="1" allowBlank="0" errorTitle="Year" error="Enter a year between 2021 and 2026 as a number." type="whole">
      <formula1>2021</formula1>
      <formula2>2026</formula2>
    </dataValidation>
    <dataValidation sqref="G6:G25" showDropDown="0" showInputMessage="0" showErrorMessage="1" allowBlank="1" type="list">
      <formula1>=Vocabularies!$A$3:$A$7</formula1>
    </dataValidation>
    <dataValidation sqref="H6:H25" showDropDown="0" showInputMessage="0" showErrorMessage="1" allowBlank="1" type="list">
      <formula1>=Vocabularies!$B$3:$B$7</formula1>
    </dataValidation>
    <dataValidation sqref="I6:I25" showDropDown="0" showInputMessage="0" showErrorMessage="1" allowBlank="1" type="list">
      <formula1>=Vocabularies!$C$3:$C$6</formula1>
    </dataValidation>
    <dataValidation sqref="J6:J25" showDropDown="0" showInputMessage="0" showErrorMessage="1" allowBlank="1" type="list">
      <formula1>=Vocabularies!$D$3:$D$7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tabSelected="1" workbookViewId="0">
      <selection activeCell="B26" sqref="B26"/>
    </sheetView>
  </sheetViews>
  <sheetFormatPr baseColWidth="10" defaultColWidth="8.83203125" defaultRowHeight="15"/>
  <cols>
    <col width="26" customWidth="1" min="1" max="1"/>
    <col width="12" customWidth="1" min="2" max="2"/>
  </cols>
  <sheetData>
    <row r="1" ht="16" customHeight="1">
      <c r="A1" s="13" t="inlineStr">
        <is>
          <t>Counts for your charts (these update automatically from the Data sheet)</t>
        </is>
      </c>
    </row>
    <row r="2">
      <c r="A2" s="8" t="inlineStr">
        <is>
          <t>Select a table below, then Insert &gt; Chart in Excel or Google Sheets. Save each chart as PNG.</t>
        </is>
      </c>
    </row>
    <row r="4">
      <c r="A4" s="14" t="inlineStr">
        <is>
          <t>Year</t>
        </is>
      </c>
      <c r="B4" s="14" t="inlineStr">
        <is>
          <t>Judgments</t>
        </is>
      </c>
    </row>
    <row r="5">
      <c r="A5" s="11" t="n">
        <v>2021</v>
      </c>
      <c r="B5" s="11">
        <f>COUNTIF(Data!E$6:E$25,A5)</f>
        <v/>
      </c>
    </row>
    <row r="6">
      <c r="A6" s="11" t="n">
        <v>2022</v>
      </c>
      <c r="B6" s="11">
        <f>COUNTIF(Data!E$6:E$25,A6)</f>
        <v/>
      </c>
    </row>
    <row r="7">
      <c r="A7" s="11" t="n">
        <v>2023</v>
      </c>
      <c r="B7" s="11">
        <f>COUNTIF(Data!E$6:E$25,A7)</f>
        <v/>
      </c>
    </row>
    <row r="8">
      <c r="A8" s="11" t="n">
        <v>2024</v>
      </c>
      <c r="B8" s="11">
        <f>COUNTIF(Data!E$6:E$25,A8)</f>
        <v/>
      </c>
    </row>
    <row r="9">
      <c r="A9" s="11" t="n">
        <v>2025</v>
      </c>
      <c r="B9" s="11">
        <f>COUNTIF(Data!E$6:E$25,A9)</f>
        <v/>
      </c>
    </row>
    <row r="10">
      <c r="A10" s="11" t="n">
        <v>2026</v>
      </c>
      <c r="B10" s="11">
        <f>COUNTIF(Data!E$6:E$25,A10)</f>
        <v/>
      </c>
    </row>
    <row r="12">
      <c r="A12" s="14" t="inlineStr">
        <is>
          <t>Outcome</t>
        </is>
      </c>
      <c r="B12" s="14" t="inlineStr">
        <is>
          <t>Judgments</t>
        </is>
      </c>
    </row>
    <row r="13">
      <c r="A13" s="11" t="inlineStr">
        <is>
          <t>Allowed</t>
        </is>
      </c>
      <c r="B13" s="11">
        <f>COUNTIF(Data!I$6:I$25,A13)</f>
        <v/>
      </c>
    </row>
    <row r="14">
      <c r="A14" s="11" t="inlineStr">
        <is>
          <t>Dismissed</t>
        </is>
      </c>
      <c r="B14" s="11">
        <f>COUNTIF(Data!I$6:I$25,A14)</f>
        <v/>
      </c>
    </row>
    <row r="15">
      <c r="A15" s="11" t="inlineStr">
        <is>
          <t>Partly allowed</t>
        </is>
      </c>
      <c r="B15" s="11">
        <f>COUNTIF(Data!I$6:I$25,A15)</f>
        <v/>
      </c>
    </row>
    <row r="16">
      <c r="A16" s="11" t="inlineStr">
        <is>
          <t>Other</t>
        </is>
      </c>
      <c r="B16" s="11">
        <f>COUNTIF(Data!I$6:I$25,A16)</f>
        <v/>
      </c>
    </row>
    <row r="18">
      <c r="A18" s="14" t="inlineStr">
        <is>
          <t>Who brought the case</t>
        </is>
      </c>
      <c r="B18" s="14" t="inlineStr">
        <is>
          <t>Judgments</t>
        </is>
      </c>
    </row>
    <row r="19">
      <c r="A19" s="11" t="inlineStr">
        <is>
          <t>Individual</t>
        </is>
      </c>
      <c r="B19" s="11">
        <f>COUNTIF(Data!H$6:H$25,A19)</f>
        <v/>
      </c>
    </row>
    <row r="20">
      <c r="A20" s="11" t="inlineStr">
        <is>
          <t>Company</t>
        </is>
      </c>
      <c r="B20" s="11">
        <f>COUNTIF(Data!H$6:H$25,A20)</f>
        <v/>
      </c>
    </row>
    <row r="21">
      <c r="A21" s="11" t="inlineStr">
        <is>
          <t>State or public body</t>
        </is>
      </c>
      <c r="B21" s="11">
        <f>COUNTIF(Data!H$6:H$25,A21)</f>
        <v/>
      </c>
    </row>
    <row r="22">
      <c r="A22" s="11" t="inlineStr">
        <is>
          <t>Association or NGO</t>
        </is>
      </c>
      <c r="B22" s="11">
        <f>COUNTIF(Data!H$6:H$25,A22)</f>
        <v/>
      </c>
    </row>
    <row r="23">
      <c r="A23" s="11" t="inlineStr">
        <is>
          <t>Other</t>
        </is>
      </c>
      <c r="B23" s="11">
        <f>COUNTIF(Data!H$6:H$25,A23)</f>
        <v/>
      </c>
    </row>
    <row r="25">
      <c r="A25" s="14" t="inlineStr">
        <is>
          <t>Who won</t>
        </is>
      </c>
      <c r="B25" s="14" t="inlineStr">
        <is>
          <t>Judgments</t>
        </is>
      </c>
    </row>
    <row r="26">
      <c r="A26" s="11" t="inlineStr">
        <is>
          <t>Individual</t>
        </is>
      </c>
      <c r="B26" s="11">
        <f>COUNTIF(Data!J$6:J$25,A26)</f>
        <v/>
      </c>
    </row>
    <row r="27">
      <c r="A27" s="11" t="inlineStr">
        <is>
          <t>Company</t>
        </is>
      </c>
      <c r="B27" s="11">
        <f>COUNTIF(Data!J$6:J$25,A27)</f>
        <v/>
      </c>
    </row>
    <row r="28">
      <c r="A28" s="11" t="inlineStr">
        <is>
          <t>State or public body</t>
        </is>
      </c>
      <c r="B28" s="11">
        <f>COUNTIF(Data!J$6:J$25,A28)</f>
        <v/>
      </c>
    </row>
    <row r="29">
      <c r="A29" s="11" t="inlineStr">
        <is>
          <t>Association or NGO</t>
        </is>
      </c>
      <c r="B29" s="11">
        <f>COUNTIF(Data!J$6:J$25,A29)</f>
        <v/>
      </c>
    </row>
    <row r="30">
      <c r="A30" s="11" t="inlineStr">
        <is>
          <t>Mixed or unclear</t>
        </is>
      </c>
      <c r="B30" s="11">
        <f>COUNTIF(Data!J$6:J$25,A30)</f>
        <v/>
      </c>
    </row>
    <row r="32">
      <c r="A32" s="14" t="inlineStr">
        <is>
          <t>Type of case</t>
        </is>
      </c>
      <c r="B32" s="14" t="inlineStr">
        <is>
          <t>Judgments</t>
        </is>
      </c>
    </row>
    <row r="33">
      <c r="A33" s="11" t="inlineStr">
        <is>
          <t>Writ petition</t>
        </is>
      </c>
      <c r="B33" s="11">
        <f>COUNTIF(Data!G$6:G$25,A33)</f>
        <v/>
      </c>
    </row>
    <row r="34">
      <c r="A34" s="11" t="inlineStr">
        <is>
          <t>Civil appeal</t>
        </is>
      </c>
      <c r="B34" s="11">
        <f>COUNTIF(Data!G$6:G$25,A34)</f>
        <v/>
      </c>
    </row>
    <row r="35">
      <c r="A35" s="11" t="inlineStr">
        <is>
          <t>Criminal appeal</t>
        </is>
      </c>
      <c r="B35" s="11">
        <f>COUNTIF(Data!G$6:G$25,A35)</f>
        <v/>
      </c>
    </row>
    <row r="36">
      <c r="A36" s="11" t="inlineStr">
        <is>
          <t>SLP</t>
        </is>
      </c>
      <c r="B36" s="11">
        <f>COUNTIF(Data!G$6:G$25,A36)</f>
        <v/>
      </c>
    </row>
    <row r="37">
      <c r="A37" s="11" t="inlineStr">
        <is>
          <t>Other</t>
        </is>
      </c>
      <c r="B37" s="11">
        <f>COUNTIF(Data!G$6:G$25,A37)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10" defaultColWidth="8.83203125" defaultRowHeight="15"/>
  <cols>
    <col width="26" customWidth="1" min="1" max="4"/>
  </cols>
  <sheetData>
    <row r="1" ht="16" customHeight="1">
      <c r="A1" s="13" t="inlineStr">
        <is>
          <t>Lists used by the dropdowns (do not edit)</t>
        </is>
      </c>
    </row>
    <row r="2">
      <c r="A2" s="14" t="inlineStr">
        <is>
          <t>Type of case</t>
        </is>
      </c>
      <c r="B2" s="14" t="inlineStr">
        <is>
          <t>Who brought the case</t>
        </is>
      </c>
      <c r="C2" s="14" t="inlineStr">
        <is>
          <t>Outcome</t>
        </is>
      </c>
      <c r="D2" s="14" t="inlineStr">
        <is>
          <t>Who won</t>
        </is>
      </c>
    </row>
    <row r="3">
      <c r="A3" s="11" t="inlineStr">
        <is>
          <t>Writ petition</t>
        </is>
      </c>
      <c r="B3" s="11" t="inlineStr">
        <is>
          <t>Individual</t>
        </is>
      </c>
      <c r="C3" s="11" t="inlineStr">
        <is>
          <t>Allowed</t>
        </is>
      </c>
      <c r="D3" s="11" t="inlineStr">
        <is>
          <t>Individual</t>
        </is>
      </c>
    </row>
    <row r="4">
      <c r="A4" s="11" t="inlineStr">
        <is>
          <t>Civil appeal</t>
        </is>
      </c>
      <c r="B4" s="11" t="inlineStr">
        <is>
          <t>Company</t>
        </is>
      </c>
      <c r="C4" s="11" t="inlineStr">
        <is>
          <t>Dismissed</t>
        </is>
      </c>
      <c r="D4" s="11" t="inlineStr">
        <is>
          <t>Company</t>
        </is>
      </c>
    </row>
    <row r="5">
      <c r="A5" s="11" t="inlineStr">
        <is>
          <t>Criminal appeal</t>
        </is>
      </c>
      <c r="B5" s="11" t="inlineStr">
        <is>
          <t>State or public body</t>
        </is>
      </c>
      <c r="C5" s="11" t="inlineStr">
        <is>
          <t>Partly allowed</t>
        </is>
      </c>
      <c r="D5" s="11" t="inlineStr">
        <is>
          <t>State or public body</t>
        </is>
      </c>
    </row>
    <row r="6">
      <c r="A6" s="11" t="inlineStr">
        <is>
          <t>SLP</t>
        </is>
      </c>
      <c r="B6" s="11" t="inlineStr">
        <is>
          <t>Association or NGO</t>
        </is>
      </c>
      <c r="C6" s="11" t="inlineStr">
        <is>
          <t>Other</t>
        </is>
      </c>
      <c r="D6" s="11" t="inlineStr">
        <is>
          <t>Association or NGO</t>
        </is>
      </c>
    </row>
    <row r="7">
      <c r="A7" s="11" t="inlineStr">
        <is>
          <t>Other</t>
        </is>
      </c>
      <c r="B7" s="11" t="inlineStr">
        <is>
          <t>Other</t>
        </is>
      </c>
      <c r="D7" s="11" t="inlineStr">
        <is>
          <t>Mixed or unclear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2026-09-16T11:13:46Z</dcterms:created>
  <dcterms:modified xmlns:dcterms="http://purl.org/dc/terms/" xmlns:xsi="http://www.w3.org/2001/XMLSchema-instance" xsi:type="dcterms:W3CDTF">2026-10-22T17:10:37Z</dcterms:modified>
  <cp:lastModifiedBy>Anshuman Sahoo</cp:lastModifiedBy>
</cp:coreProperties>
</file>